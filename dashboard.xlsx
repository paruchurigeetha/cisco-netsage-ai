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Case Dataset Log" sheetId="2" r:id="rId2"/>
  </sheets>
  <calcPr calcId="124519" fullCalcOnLoad="1"/>
</workbook>
</file>

<file path=xl/sharedStrings.xml><?xml version="1.0" encoding="utf-8"?>
<sst xmlns="http://schemas.openxmlformats.org/spreadsheetml/2006/main" count="231" uniqueCount="108">
  <si>
    <t>NetSage AI - Networking Troubleshooter Dashboard</t>
  </si>
  <si>
    <t>Key Diagnostic Metrics</t>
  </si>
  <si>
    <t>Metric</t>
  </si>
  <si>
    <t>Count / Value</t>
  </si>
  <si>
    <t>Target</t>
  </si>
  <si>
    <t>Total Troubleshooting Cases</t>
  </si>
  <si>
    <t>At least 30</t>
  </si>
  <si>
    <t>AI Diagnoses Run</t>
  </si>
  <si>
    <t>Human Accepted Diagnoses</t>
  </si>
  <si>
    <t>-</t>
  </si>
  <si>
    <t>Human Edited Diagnoses</t>
  </si>
  <si>
    <t>Human Rejected Diagnoses</t>
  </si>
  <si>
    <t>AI-Human Agreement Rate</t>
  </si>
  <si>
    <t>&gt;= 80%</t>
  </si>
  <si>
    <t>Responsible AI Correction Logs</t>
  </si>
  <si>
    <t>At least 5</t>
  </si>
  <si>
    <t>Issue Breakdown by Concept Tag</t>
  </si>
  <si>
    <t>Concept</t>
  </si>
  <si>
    <t>Case Count</t>
  </si>
  <si>
    <t>VLAN</t>
  </si>
  <si>
    <t>Gateway</t>
  </si>
  <si>
    <t>DHCP</t>
  </si>
  <si>
    <t>DNS</t>
  </si>
  <si>
    <t>Routing</t>
  </si>
  <si>
    <t>ACL</t>
  </si>
  <si>
    <t>NAT</t>
  </si>
  <si>
    <t>Wireless</t>
  </si>
  <si>
    <t>OSI Layer Distribution</t>
  </si>
  <si>
    <t>OSI Layer</t>
  </si>
  <si>
    <t>L1</t>
  </si>
  <si>
    <t>L2</t>
  </si>
  <si>
    <t>L3</t>
  </si>
  <si>
    <t>L4</t>
  </si>
  <si>
    <t>L7</t>
  </si>
  <si>
    <t>ID</t>
  </si>
  <si>
    <t>Symptom</t>
  </si>
  <si>
    <t>Severity</t>
  </si>
  <si>
    <t>Expected Root Cause</t>
  </si>
  <si>
    <t>Review Status</t>
  </si>
  <si>
    <t>Human Verification Notes</t>
  </si>
  <si>
    <t>PC1 in VLAN 10 cannot ping PC2 in VLAN 10 connected to another switch. Pings time out.</t>
  </si>
  <si>
    <t>High</t>
  </si>
  <si>
    <t>Mismatched Native VLAN on trunk link between SwitchA and SwitchB (Native VLAN 10 vs Native VLAN 20). This causes VLAN leaking and drop of tagged/untagged traffic.</t>
  </si>
  <si>
    <t>Accepted</t>
  </si>
  <si>
    <t>PC1 connected to SwitchA Fa0/1 cannot reach any device on VLAN 10. Port light is green but IP configuration fails.</t>
  </si>
  <si>
    <t>VLAN 10 is configured on the access interface Fa0/1, but VLAN 10 does not exist in the switch's VLAN database (VLAN is inactive).</t>
  </si>
  <si>
    <t>The trunk link between SwitchA and SwitchB is down, and VLANs are not communicating between them.</t>
  </si>
  <si>
    <t>Medium</t>
  </si>
  <si>
    <t>Switchport mode mismatch on the link connecting SwitchA and SwitchB. SwitchA is set to 'trunk' while SwitchB is configured as 'static access'.</t>
  </si>
  <si>
    <t>PC1 has static IP but cannot ping default gateway or access any resource outside its local subnet.</t>
  </si>
  <si>
    <t>Default gateway IP mismatch. The default gateway on PC1 is set to 192.168.2.1, but the Router interface's actual IP is 192.168.1.1.</t>
  </si>
  <si>
    <t>All hosts in VLAN 10 fail to ping their default gateway and cannot access the Internet.</t>
  </si>
  <si>
    <t>Router subinterface GigabitEthernet0/0.10 is administratively down (not enabled with 'no shutdown').</t>
  </si>
  <si>
    <t>PC1 on VLAN 10 is configured to receive IP via DHCP but gets a 169.254.x.x autoconfiguration IP.</t>
  </si>
  <si>
    <t>Missing DHCP helper address on the Router's VLAN 10 gateway interface. DHCP broadcast packets cannot traverse subnets without 'ip helper-address'.</t>
  </si>
  <si>
    <t>DHCP clients on VLAN 10 receive IP addresses but cannot communicate with their gateway or external networks.</t>
  </si>
  <si>
    <t>DHCP pool network subnet conflict. The DHCP pool is configured for network 192.168.100.0/24, but the gateway router IP is 192.168.10.1 (not in the pool's network subnet).</t>
  </si>
  <si>
    <t>PC1 can ping external IP address 8.8.8.8 but fails to resolve domain names like www.google.com.</t>
  </si>
  <si>
    <t>DNS Server IP address misconfigured on client. PC1 uses 192.168.1.250, but the active DNS server interface is 192.168.1.200.</t>
  </si>
  <si>
    <t>Clients receive host-name resolution failures when trying to reach 'intranet.local'.</t>
  </si>
  <si>
    <t>Low</t>
  </si>
  <si>
    <t>Missing DNS Host A-record on the DNS Server for 'intranet.local'.</t>
  </si>
  <si>
    <t>OSPF neighbor relationships fail to establish and console logs show neighbor flapping.</t>
  </si>
  <si>
    <t>OSPF duplicate router ID. Both RouterA and RouterB have their OSPF router ID configured as 1.1.1.1, preventing neighbor establishment.</t>
  </si>
  <si>
    <t>OSPF neighbors are stuck in DOWN state. No routing information is exchanged.</t>
  </si>
  <si>
    <t>OSPF Area ID mismatch. RouterA's interface Gi0/0 is configured in Area 0, while RouterB's connecting interface is configured in Area 1.</t>
  </si>
  <si>
    <t>RouterA cannot reach remote network 192.168.50.0/24 behind RouterB.</t>
  </si>
  <si>
    <t>Missing static route or dynamic routing configuration for 192.168.50.0/24 on RouterA.</t>
  </si>
  <si>
    <t>Static route configured on RouterA fails to route traffic to destination, pings time out.</t>
  </si>
  <si>
    <t>Static route configured with incorrect next-hop IP (10.1.1.6 instead of RouterB's IP 10.1.1.2). 10.1.1.6 is unresponsive or not present on the subnet.</t>
  </si>
  <si>
    <t>RouterA and RouterB run RIP but cannot exchange routing updates. Routes from RouterB are missing on RouterA.</t>
  </si>
  <si>
    <t>RIP routing protocol version mismatch. RouterA uses version 1, and RouterB uses version 2. Version 1 does not support classless updates sent by Version 2, or they ignore each other's packets.</t>
  </si>
  <si>
    <t>PC1 cannot access the intranet web server (HTTP port 80), though it can ping the server's IP address.</t>
  </si>
  <si>
    <t>Access Control List (ACL 101) applied out on the server-facing interface blocks web traffic (HTTP port 80 and HTTPS port 443) destined for the server.</t>
  </si>
  <si>
    <t>An access list intended to permit only the management host 192.168.1.10 to SSH to the router is blocking all hosts on that subnet, or permitting everyone. SSH connectivity is inconsistent.</t>
  </si>
  <si>
    <t>Incorrect wildcard mask used in Cisco Access Control List. The command uses '255.255.255.0' which is a subnet mask, instead of the inverted wildcard mask '0.0.0.255' or a host wildcard '0.0.0.0' for single host.</t>
  </si>
  <si>
    <t>Edited</t>
  </si>
  <si>
    <t>Corrected configuration details / CLI commands.</t>
  </si>
  <si>
    <t>After implementing an ACL to permit web browsing, users cannot resolve any URLs, but can browse using direct IP addresses.</t>
  </si>
  <si>
    <t>The implicit deny at the end of ACL 102 is blocking DNS traffic (UDP port 53), preventing host-name resolution.</t>
  </si>
  <si>
    <t>PCs in the LAN cannot access the internet. No NAT translations are recorded on the router.</t>
  </si>
  <si>
    <t>NAT inside/outside interfaces are reversed. GigabitEthernet0/0 (LAN) is configured as 'ip nat outside' and GigabitEthernet0/1 (WAN) is 'ip nat inside'.</t>
  </si>
  <si>
    <t>VLAN 20 hosts (192.168.20.0/24) fail to access the internet, while VLAN 10 hosts (192.168.10.0/24) are working fine. NAT translations are empty for VLAN 20.</t>
  </si>
  <si>
    <t>The NAT access-list (ACL 1) is missing a permit statement for the VLAN 20 subnet (192.168.20.0/24), preventing their source IPs from being translated.</t>
  </si>
  <si>
    <t>A user moved their laptop from Desk A to Desk B. Now, the network port is down, link light is amber/red, and PC shows no network connection.</t>
  </si>
  <si>
    <t>Port security violation on Switch port FastEthernet0/5. The user connected a device with a different MAC address (0011.2233.4455) than the secured MAC address, causing the port to enter the err-disabled shutdown state.</t>
  </si>
  <si>
    <t>RouterA and RouterB are connected directly on their G0/0 interfaces but cannot ping each other. The link lights are green.</t>
  </si>
  <si>
    <t>Mismatched subnet masks on RouterA and RouterB's directly connecting link. RouterA uses /30 (255.255.255.252) while RouterB uses /29 (255.255.255.248).</t>
  </si>
  <si>
    <t>Hosts on the LAN report intermittent connectivity and slow speeds. Ping response times to the gateway flap and drop packets.</t>
  </si>
  <si>
    <t>Duplicate IP address on the LAN. Two devices (MACs 0015.65c4.8912 and 0022.48f1.88a2) are configured with the same IP address 192.168.1.10.</t>
  </si>
  <si>
    <t>Rejected</t>
  </si>
  <si>
    <t>AI misdiagnosed duplicate IP as STP loop.</t>
  </si>
  <si>
    <t>Network traffic is taking a slow path (100Mbps link) instead of the fast Gigabit link. Users report slow file transfers.</t>
  </si>
  <si>
    <t>Incorrect Spanning Tree Root Bridge election. The low-end Access Switch was elected as Root Bridge because priorities are left at default (32768+1) and it has a lower MAC address. This causes traffic to route suboptimally.</t>
  </si>
  <si>
    <t>The EtherChannel link between SwitchA and SwitchB is down, and ports Fa0/23 and Fa0/24 show suspended states.</t>
  </si>
  <si>
    <t>EtherChannel protocol mismatch. SwitchA is configured to use Link Aggregation Control Protocol (LACP), whereas SwitchB is configured to use Port Aggregation Protocol (PAgP).</t>
  </si>
  <si>
    <t>Wireless clients in the branch office cannot see or connect to the 'Cisco_Guest' SSID.</t>
  </si>
  <si>
    <t>SSID mismatch. The WLC broadcasts the SSID as 'Cisco-Guest' (hyphen), but the clients are preconfigured or trying to connect to 'Cisco_Guest' (underscore).</t>
  </si>
  <si>
    <t>Wireless clients enter a looping authentication loop when attempting to connect to the corporate WLAN.</t>
  </si>
  <si>
    <t>Wireless security password mismatch. The client is entering the incorrect WPA2 pre-shared key (PSK), causing a WPA handshake key validation failure.</t>
  </si>
  <si>
    <t>PC1 in VLAN 20 cannot ping its default gateway Router subinterface G0/0.20.</t>
  </si>
  <si>
    <t>Inter-VLAN Routing subinterface encapsulation mismatch. Subinterface G0/0.20 is configured to tag and receive VLAN 30 frames ('encapsulation dot1Q 30'), instead of VLAN 20.</t>
  </si>
  <si>
    <t>Console logs show HSRP IP address duplicate warnings, and hosts suffer from routing packet drops.</t>
  </si>
  <si>
    <t>HSRP Group Mismatch. RouterA is configured for standby group 10, and RouterB is in standby group 20. They do not exchange HSRP hello messages for the same group, causing both to assume the Active role.</t>
  </si>
  <si>
    <t>Users cannot establish secure HTTPS connections to internal web portals. Browsers show SSL certificate expired/invalid errors.</t>
  </si>
  <si>
    <t>NTP system clock desynchronization. The router's system clock is set to 1993, causing validity checks on modern SSL/TLS certificates to fail.</t>
  </si>
  <si>
    <t>VLANs created on SwitchA (VTP Server) are not replicating to SwitchB (VTP Client). Ports on SwitchB remain unassigned.</t>
  </si>
  <si>
    <t>VTP Domain Name mismatch. VTP is case-sensitive. SwitchA uses 'CISCO' (uppercase), whereas SwitchB is configured with 'cisco' (lowercase).</t>
  </si>
</sst>
</file>

<file path=xl/styles.xml><?xml version="1.0" encoding="utf-8"?>
<styleSheet xmlns="http://schemas.openxmlformats.org/spreadsheetml/2006/main">
  <numFmts count="1">
    <numFmt numFmtId="164" formatCode="0.0%"/>
  </numFmts>
  <fonts count="8">
    <font>
      <sz val="11"/>
      <color theme="1"/>
      <name val="Calibri"/>
      <family val="2"/>
      <scheme val="minor"/>
    </font>
    <font>
      <b/>
      <sz val="16"/>
      <color rgb="FFFFFFFF"/>
      <name val="Calibri"/>
      <family val="2"/>
      <scheme val="minor"/>
    </font>
    <font>
      <b/>
      <sz val="12"/>
      <color rgb="FF005A9C"/>
      <name val="Calibri"/>
      <family val="2"/>
      <scheme val="minor"/>
    </font>
    <font>
      <b/>
      <sz val="11"/>
      <color rgb="FFFFFFFF"/>
      <name val="Calibri"/>
      <family val="2"/>
      <scheme val="minor"/>
    </font>
    <font>
      <b/>
      <sz val="11"/>
      <color theme="1"/>
      <name val="Calibri"/>
      <family val="2"/>
      <scheme val="minor"/>
    </font>
    <font>
      <sz val="11"/>
      <color rgb="FF385723"/>
      <name val="Calibri"/>
      <family val="2"/>
      <scheme val="minor"/>
    </font>
    <font>
      <sz val="11"/>
      <color rgb="FF7F6000"/>
      <name val="Calibri"/>
      <family val="2"/>
      <scheme val="minor"/>
    </font>
    <font>
      <sz val="11"/>
      <color rgb="FFC65911"/>
      <name val="Calibri"/>
      <family val="2"/>
      <scheme val="minor"/>
    </font>
  </fonts>
  <fills count="7">
    <fill>
      <patternFill patternType="none"/>
    </fill>
    <fill>
      <patternFill patternType="gray125"/>
    </fill>
    <fill>
      <patternFill patternType="solid">
        <fgColor rgb="FF0F2C59"/>
        <bgColor indexed="64"/>
      </patternFill>
    </fill>
    <fill>
      <patternFill patternType="solid">
        <fgColor rgb="FF005A9C"/>
        <bgColor indexed="64"/>
      </patternFill>
    </fill>
    <fill>
      <patternFill patternType="solid">
        <fgColor rgb="FFE2F0D9"/>
        <bgColor indexed="64"/>
      </patternFill>
    </fill>
    <fill>
      <patternFill patternType="solid">
        <fgColor rgb="FFFFF2CC"/>
        <bgColor indexed="64"/>
      </patternFill>
    </fill>
    <fill>
      <patternFill patternType="solid">
        <fgColor rgb="FFFCE4D6"/>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medium">
        <color rgb="FF005A9C"/>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2" fillId="0" borderId="2" xfId="0" applyFont="1" applyBorder="1"/>
    <xf numFmtId="0" fontId="3" fillId="3" borderId="1" xfId="0" applyFont="1" applyFill="1" applyBorder="1" applyAlignment="1">
      <alignment horizontal="center" vertical="center"/>
    </xf>
    <xf numFmtId="0" fontId="4" fillId="0" borderId="1" xfId="0" applyFont="1" applyBorder="1" applyAlignment="1">
      <alignment horizontal="left"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left" vertical="center" wrapText="1"/>
    </xf>
    <xf numFmtId="0" fontId="5" fillId="4" borderId="1" xfId="0" applyFont="1" applyFill="1" applyBorder="1" applyAlignment="1">
      <alignment horizontal="center"/>
    </xf>
    <xf numFmtId="0" fontId="6" fillId="5" borderId="1" xfId="0" applyFont="1" applyFill="1" applyBorder="1" applyAlignment="1">
      <alignment horizontal="center"/>
    </xf>
    <xf numFmtId="0" fontId="7"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AI vs Human Review Status</a:t>
            </a:r>
          </a:p>
        </c:rich>
      </c:tx>
      <c:layout/>
    </c:title>
    <c:plotArea>
      <c:layout/>
      <c:pieChart>
        <c:varyColors val="1"/>
        <c:ser>
          <c:idx val="0"/>
          <c:order val="0"/>
          <c:tx>
            <c:v>AI vs Human Review</c:v>
          </c:tx>
          <c:dPt>
            <c:idx val="0"/>
            <c:spPr>
              <a:solidFill>
                <a:srgbClr val="5B9BD5"/>
              </a:solidFill>
            </c:spPr>
          </c:dPt>
          <c:dPt>
            <c:idx val="1"/>
            <c:spPr>
              <a:solidFill>
                <a:srgbClr val="FFC000"/>
              </a:solidFill>
            </c:spPr>
          </c:dPt>
          <c:dPt>
            <c:idx val="2"/>
            <c:spPr>
              <a:solidFill>
                <a:srgbClr val="ED7D31"/>
              </a:solidFill>
            </c:spPr>
          </c:dPt>
          <c:cat>
            <c:strRef>
              <c:f>Overview!$B$8:$B$10</c:f>
              <c:strCache>
                <c:ptCount val="3"/>
                <c:pt idx="0">
                  <c:v>AI Diagnoses Run</c:v>
                </c:pt>
                <c:pt idx="1">
                  <c:v>Human Accepted Diagnoses</c:v>
                </c:pt>
                <c:pt idx="2">
                  <c:v>Human Edited Diagnoses</c:v>
                </c:pt>
              </c:strCache>
            </c:strRef>
          </c:cat>
          <c:val>
            <c:numRef>
              <c:f>Overview!$C$8:$C$10</c:f>
              <c:numCache>
                <c:formatCode>General</c:formatCode>
                <c:ptCount val="3"/>
                <c:pt idx="0">
                  <c:v>30</c:v>
                </c:pt>
                <c:pt idx="1">
                  <c:v>25</c:v>
                </c:pt>
                <c:pt idx="2">
                  <c:v>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Troubleshooting Cases by Concept</a:t>
            </a:r>
          </a:p>
        </c:rich>
      </c:tx>
      <c:layout/>
    </c:title>
    <c:plotArea>
      <c:layout/>
      <c:barChart>
        <c:barDir val="bar"/>
        <c:grouping val="clustered"/>
        <c:ser>
          <c:idx val="0"/>
          <c:order val="0"/>
          <c:tx>
            <c:v>Cases</c:v>
          </c:tx>
          <c:spPr>
            <a:solidFill>
              <a:srgbClr val="005A9C"/>
            </a:solidFill>
          </c:spPr>
          <c:cat>
            <c:strRef>
              <c:f>Overview!$B$17:$B$24</c:f>
              <c:strCache>
                <c:ptCount val="8"/>
                <c:pt idx="0">
                  <c:v>VLAN</c:v>
                </c:pt>
                <c:pt idx="1">
                  <c:v>Gateway</c:v>
                </c:pt>
                <c:pt idx="2">
                  <c:v>DHCP</c:v>
                </c:pt>
                <c:pt idx="3">
                  <c:v>DNS</c:v>
                </c:pt>
                <c:pt idx="4">
                  <c:v>Routing</c:v>
                </c:pt>
                <c:pt idx="5">
                  <c:v>ACL</c:v>
                </c:pt>
                <c:pt idx="6">
                  <c:v>NAT</c:v>
                </c:pt>
                <c:pt idx="7">
                  <c:v>Wireless</c:v>
                </c:pt>
              </c:strCache>
            </c:strRef>
          </c:cat>
          <c:val>
            <c:numRef>
              <c:f>Overview!$C$17:$C$24</c:f>
              <c:numCache>
                <c:formatCode>General</c:formatCode>
                <c:ptCount val="8"/>
                <c:pt idx="0">
                  <c:v>7</c:v>
                </c:pt>
                <c:pt idx="1">
                  <c:v>3</c:v>
                </c:pt>
                <c:pt idx="2">
                  <c:v>2</c:v>
                </c:pt>
                <c:pt idx="3">
                  <c:v>3</c:v>
                </c:pt>
                <c:pt idx="4">
                  <c:v>8</c:v>
                </c:pt>
                <c:pt idx="5">
                  <c:v>3</c:v>
                </c:pt>
                <c:pt idx="6">
                  <c:v>2</c:v>
                </c:pt>
                <c:pt idx="7">
                  <c:v>2</c:v>
                </c:pt>
              </c:numCache>
            </c:numRef>
          </c:val>
        </c:ser>
        <c:axId val="50020001"/>
        <c:axId val="50020002"/>
      </c:barChart>
      <c:catAx>
        <c:axId val="50020001"/>
        <c:scaling>
          <c:orientation val="minMax"/>
        </c:scaling>
        <c:axPos val="l"/>
        <c:tickLblPos val="nextTo"/>
        <c:crossAx val="50020002"/>
        <c:crosses val="autoZero"/>
        <c:auto val="1"/>
        <c:lblAlgn val="ctr"/>
        <c:lblOffset val="100"/>
      </c:catAx>
      <c:valAx>
        <c:axId val="50020002"/>
        <c:scaling>
          <c:orientation val="minMax"/>
        </c:scaling>
        <c:axPos val="b"/>
        <c:majorGridlines/>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95250</xdr:colOff>
      <xdr:row>4</xdr:row>
      <xdr:rowOff>95250</xdr:rowOff>
    </xdr:from>
    <xdr:to>
      <xdr:col>12</xdr:col>
      <xdr:colOff>400050</xdr:colOff>
      <xdr:row>18</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19</xdr:row>
      <xdr:rowOff>95250</xdr:rowOff>
    </xdr:from>
    <xdr:to>
      <xdr:col>12</xdr:col>
      <xdr:colOff>400050</xdr:colOff>
      <xdr:row>33</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2:E32"/>
  <sheetViews>
    <sheetView showGridLines="0" tabSelected="1" workbookViewId="0"/>
  </sheetViews>
  <sheetFormatPr defaultRowHeight="15"/>
  <cols>
    <col min="1" max="1" width="3.7109375" customWidth="1"/>
    <col min="2" max="4" width="20.7109375" customWidth="1"/>
    <col min="5" max="5" width="25.7109375" customWidth="1"/>
  </cols>
  <sheetData>
    <row r="2" spans="2:5">
      <c r="B2" s="1" t="s">
        <v>0</v>
      </c>
      <c r="C2" s="1"/>
      <c r="D2" s="1"/>
      <c r="E2" s="1"/>
    </row>
    <row r="3" spans="2:5">
      <c r="B3" s="1"/>
      <c r="C3" s="1"/>
      <c r="D3" s="1"/>
      <c r="E3" s="1"/>
    </row>
    <row r="5" spans="2:5">
      <c r="B5" s="2" t="s">
        <v>1</v>
      </c>
    </row>
    <row r="6" spans="2:5">
      <c r="B6" s="3" t="s">
        <v>2</v>
      </c>
      <c r="C6" s="3" t="s">
        <v>3</v>
      </c>
      <c r="D6" s="3" t="s">
        <v>4</v>
      </c>
    </row>
    <row r="7" spans="2:5">
      <c r="B7" s="4" t="s">
        <v>5</v>
      </c>
      <c r="C7" s="5">
        <v>30</v>
      </c>
      <c r="D7" s="5" t="s">
        <v>6</v>
      </c>
    </row>
    <row r="8" spans="2:5">
      <c r="B8" s="4" t="s">
        <v>7</v>
      </c>
      <c r="C8" s="5">
        <v>30</v>
      </c>
      <c r="D8" s="5" t="s">
        <v>6</v>
      </c>
    </row>
    <row r="9" spans="2:5">
      <c r="B9" s="4" t="s">
        <v>8</v>
      </c>
      <c r="C9" s="5">
        <v>25</v>
      </c>
      <c r="D9" s="5" t="s">
        <v>9</v>
      </c>
    </row>
    <row r="10" spans="2:5">
      <c r="B10" s="4" t="s">
        <v>10</v>
      </c>
      <c r="C10" s="5">
        <v>4</v>
      </c>
      <c r="D10" s="5" t="s">
        <v>9</v>
      </c>
    </row>
    <row r="11" spans="2:5">
      <c r="B11" s="4" t="s">
        <v>11</v>
      </c>
      <c r="C11" s="5">
        <v>1</v>
      </c>
      <c r="D11" s="5" t="s">
        <v>9</v>
      </c>
    </row>
    <row r="12" spans="2:5">
      <c r="B12" s="4" t="s">
        <v>12</v>
      </c>
      <c r="C12" s="6">
        <v>0.8333333333333334</v>
      </c>
      <c r="D12" s="5" t="s">
        <v>13</v>
      </c>
    </row>
    <row r="13" spans="2:5">
      <c r="B13" s="4" t="s">
        <v>14</v>
      </c>
      <c r="C13" s="5">
        <v>5</v>
      </c>
      <c r="D13" s="5" t="s">
        <v>15</v>
      </c>
    </row>
    <row r="15" spans="2:5">
      <c r="B15" s="2" t="s">
        <v>16</v>
      </c>
    </row>
    <row r="16" spans="2:5">
      <c r="B16" s="3" t="s">
        <v>17</v>
      </c>
      <c r="C16" s="3" t="s">
        <v>18</v>
      </c>
    </row>
    <row r="17" spans="2:3">
      <c r="B17" s="7" t="s">
        <v>19</v>
      </c>
      <c r="C17" s="5">
        <v>7</v>
      </c>
    </row>
    <row r="18" spans="2:3">
      <c r="B18" s="7" t="s">
        <v>20</v>
      </c>
      <c r="C18" s="5">
        <v>3</v>
      </c>
    </row>
    <row r="19" spans="2:3">
      <c r="B19" s="7" t="s">
        <v>21</v>
      </c>
      <c r="C19" s="5">
        <v>2</v>
      </c>
    </row>
    <row r="20" spans="2:3">
      <c r="B20" s="7" t="s">
        <v>22</v>
      </c>
      <c r="C20" s="5">
        <v>3</v>
      </c>
    </row>
    <row r="21" spans="2:3">
      <c r="B21" s="7" t="s">
        <v>23</v>
      </c>
      <c r="C21" s="5">
        <v>8</v>
      </c>
    </row>
    <row r="22" spans="2:3">
      <c r="B22" s="7" t="s">
        <v>24</v>
      </c>
      <c r="C22" s="5">
        <v>3</v>
      </c>
    </row>
    <row r="23" spans="2:3">
      <c r="B23" s="7" t="s">
        <v>25</v>
      </c>
      <c r="C23" s="5">
        <v>2</v>
      </c>
    </row>
    <row r="24" spans="2:3">
      <c r="B24" s="7" t="s">
        <v>26</v>
      </c>
      <c r="C24" s="5">
        <v>2</v>
      </c>
    </row>
    <row r="26" spans="2:3">
      <c r="B26" s="2" t="s">
        <v>27</v>
      </c>
    </row>
    <row r="27" spans="2:3">
      <c r="B27" s="3" t="s">
        <v>28</v>
      </c>
      <c r="C27" s="3" t="s">
        <v>18</v>
      </c>
    </row>
    <row r="28" spans="2:3">
      <c r="B28" s="7" t="s">
        <v>29</v>
      </c>
      <c r="C28" s="5">
        <v>1</v>
      </c>
    </row>
    <row r="29" spans="2:3">
      <c r="B29" s="7" t="s">
        <v>30</v>
      </c>
      <c r="C29" s="5">
        <v>9</v>
      </c>
    </row>
    <row r="30" spans="2:3">
      <c r="B30" s="7" t="s">
        <v>31</v>
      </c>
      <c r="C30" s="5">
        <v>15</v>
      </c>
    </row>
    <row r="31" spans="2:3">
      <c r="B31" s="7" t="s">
        <v>32</v>
      </c>
      <c r="C31" s="5">
        <v>2</v>
      </c>
    </row>
    <row r="32" spans="2:3">
      <c r="B32" s="7" t="s">
        <v>33</v>
      </c>
      <c r="C32" s="5">
        <v>3</v>
      </c>
    </row>
  </sheetData>
  <mergeCells count="1">
    <mergeCell ref="B2:E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H31"/>
  <sheetViews>
    <sheetView workbookViewId="0"/>
  </sheetViews>
  <sheetFormatPr defaultRowHeight="15"/>
  <cols>
    <col min="1" max="1" width="6.7109375" customWidth="1"/>
    <col min="2" max="2" width="40.7109375" customWidth="1"/>
    <col min="3" max="3" width="12.7109375" customWidth="1"/>
    <col min="4" max="5" width="10.7109375" customWidth="1"/>
    <col min="6" max="6" width="35.7109375" customWidth="1"/>
    <col min="7" max="7" width="15.7109375" customWidth="1"/>
    <col min="8" max="8" width="40.7109375" customWidth="1"/>
  </cols>
  <sheetData>
    <row r="1" spans="1:8">
      <c r="A1" s="3" t="s">
        <v>34</v>
      </c>
      <c r="B1" s="3" t="s">
        <v>35</v>
      </c>
      <c r="C1" s="3" t="s">
        <v>17</v>
      </c>
      <c r="D1" s="3" t="s">
        <v>28</v>
      </c>
      <c r="E1" s="3" t="s">
        <v>36</v>
      </c>
      <c r="F1" s="3" t="s">
        <v>37</v>
      </c>
      <c r="G1" s="3" t="s">
        <v>38</v>
      </c>
      <c r="H1" s="3" t="s">
        <v>39</v>
      </c>
    </row>
    <row r="2" spans="1:8">
      <c r="A2" s="5">
        <v>1</v>
      </c>
      <c r="B2" s="7" t="s">
        <v>40</v>
      </c>
      <c r="C2" s="5" t="s">
        <v>19</v>
      </c>
      <c r="D2" s="5" t="s">
        <v>30</v>
      </c>
      <c r="E2" s="5" t="s">
        <v>41</v>
      </c>
      <c r="F2" s="7" t="s">
        <v>42</v>
      </c>
      <c r="G2" s="8" t="s">
        <v>43</v>
      </c>
      <c r="H2" s="7"/>
    </row>
    <row r="3" spans="1:8">
      <c r="A3" s="5">
        <v>2</v>
      </c>
      <c r="B3" s="7" t="s">
        <v>44</v>
      </c>
      <c r="C3" s="5" t="s">
        <v>19</v>
      </c>
      <c r="D3" s="5" t="s">
        <v>30</v>
      </c>
      <c r="E3" s="5" t="s">
        <v>41</v>
      </c>
      <c r="F3" s="7" t="s">
        <v>45</v>
      </c>
      <c r="G3" s="8" t="s">
        <v>43</v>
      </c>
      <c r="H3" s="7"/>
    </row>
    <row r="4" spans="1:8">
      <c r="A4" s="5">
        <v>3</v>
      </c>
      <c r="B4" s="7" t="s">
        <v>46</v>
      </c>
      <c r="C4" s="5" t="s">
        <v>19</v>
      </c>
      <c r="D4" s="5" t="s">
        <v>30</v>
      </c>
      <c r="E4" s="5" t="s">
        <v>47</v>
      </c>
      <c r="F4" s="7" t="s">
        <v>48</v>
      </c>
      <c r="G4" s="8" t="s">
        <v>43</v>
      </c>
      <c r="H4" s="7"/>
    </row>
    <row r="5" spans="1:8">
      <c r="A5" s="5">
        <v>4</v>
      </c>
      <c r="B5" s="7" t="s">
        <v>49</v>
      </c>
      <c r="C5" s="5" t="s">
        <v>20</v>
      </c>
      <c r="D5" s="5" t="s">
        <v>31</v>
      </c>
      <c r="E5" s="5" t="s">
        <v>41</v>
      </c>
      <c r="F5" s="7" t="s">
        <v>50</v>
      </c>
      <c r="G5" s="8" t="s">
        <v>43</v>
      </c>
      <c r="H5" s="7"/>
    </row>
    <row r="6" spans="1:8">
      <c r="A6" s="5">
        <v>5</v>
      </c>
      <c r="B6" s="7" t="s">
        <v>51</v>
      </c>
      <c r="C6" s="5" t="s">
        <v>20</v>
      </c>
      <c r="D6" s="5" t="s">
        <v>29</v>
      </c>
      <c r="E6" s="5" t="s">
        <v>41</v>
      </c>
      <c r="F6" s="7" t="s">
        <v>52</v>
      </c>
      <c r="G6" s="8" t="s">
        <v>43</v>
      </c>
      <c r="H6" s="7"/>
    </row>
    <row r="7" spans="1:8">
      <c r="A7" s="5">
        <v>6</v>
      </c>
      <c r="B7" s="7" t="s">
        <v>53</v>
      </c>
      <c r="C7" s="5" t="s">
        <v>21</v>
      </c>
      <c r="D7" s="5" t="s">
        <v>31</v>
      </c>
      <c r="E7" s="5" t="s">
        <v>41</v>
      </c>
      <c r="F7" s="7" t="s">
        <v>54</v>
      </c>
      <c r="G7" s="8" t="s">
        <v>43</v>
      </c>
      <c r="H7" s="7"/>
    </row>
    <row r="8" spans="1:8">
      <c r="A8" s="5">
        <v>7</v>
      </c>
      <c r="B8" s="7" t="s">
        <v>55</v>
      </c>
      <c r="C8" s="5" t="s">
        <v>21</v>
      </c>
      <c r="D8" s="5" t="s">
        <v>31</v>
      </c>
      <c r="E8" s="5" t="s">
        <v>41</v>
      </c>
      <c r="F8" s="7" t="s">
        <v>56</v>
      </c>
      <c r="G8" s="8" t="s">
        <v>43</v>
      </c>
      <c r="H8" s="7"/>
    </row>
    <row r="9" spans="1:8">
      <c r="A9" s="5">
        <v>8</v>
      </c>
      <c r="B9" s="7" t="s">
        <v>57</v>
      </c>
      <c r="C9" s="5" t="s">
        <v>22</v>
      </c>
      <c r="D9" s="5" t="s">
        <v>33</v>
      </c>
      <c r="E9" s="5" t="s">
        <v>47</v>
      </c>
      <c r="F9" s="7" t="s">
        <v>58</v>
      </c>
      <c r="G9" s="8" t="s">
        <v>43</v>
      </c>
      <c r="H9" s="7"/>
    </row>
    <row r="10" spans="1:8">
      <c r="A10" s="5">
        <v>9</v>
      </c>
      <c r="B10" s="7" t="s">
        <v>59</v>
      </c>
      <c r="C10" s="5" t="s">
        <v>22</v>
      </c>
      <c r="D10" s="5" t="s">
        <v>33</v>
      </c>
      <c r="E10" s="5" t="s">
        <v>60</v>
      </c>
      <c r="F10" s="7" t="s">
        <v>61</v>
      </c>
      <c r="G10" s="8" t="s">
        <v>43</v>
      </c>
      <c r="H10" s="7"/>
    </row>
    <row r="11" spans="1:8">
      <c r="A11" s="5">
        <v>10</v>
      </c>
      <c r="B11" s="7" t="s">
        <v>62</v>
      </c>
      <c r="C11" s="5" t="s">
        <v>23</v>
      </c>
      <c r="D11" s="5" t="s">
        <v>31</v>
      </c>
      <c r="E11" s="5" t="s">
        <v>41</v>
      </c>
      <c r="F11" s="7" t="s">
        <v>63</v>
      </c>
      <c r="G11" s="8" t="s">
        <v>43</v>
      </c>
      <c r="H11" s="7"/>
    </row>
    <row r="12" spans="1:8">
      <c r="A12" s="5">
        <v>11</v>
      </c>
      <c r="B12" s="7" t="s">
        <v>64</v>
      </c>
      <c r="C12" s="5" t="s">
        <v>23</v>
      </c>
      <c r="D12" s="5" t="s">
        <v>31</v>
      </c>
      <c r="E12" s="5" t="s">
        <v>41</v>
      </c>
      <c r="F12" s="7" t="s">
        <v>65</v>
      </c>
      <c r="G12" s="8" t="s">
        <v>43</v>
      </c>
      <c r="H12" s="7"/>
    </row>
    <row r="13" spans="1:8">
      <c r="A13" s="5">
        <v>12</v>
      </c>
      <c r="B13" s="7" t="s">
        <v>66</v>
      </c>
      <c r="C13" s="5" t="s">
        <v>23</v>
      </c>
      <c r="D13" s="5" t="s">
        <v>31</v>
      </c>
      <c r="E13" s="5" t="s">
        <v>47</v>
      </c>
      <c r="F13" s="7" t="s">
        <v>67</v>
      </c>
      <c r="G13" s="8" t="s">
        <v>43</v>
      </c>
      <c r="H13" s="7"/>
    </row>
    <row r="14" spans="1:8">
      <c r="A14" s="5">
        <v>13</v>
      </c>
      <c r="B14" s="7" t="s">
        <v>68</v>
      </c>
      <c r="C14" s="5" t="s">
        <v>23</v>
      </c>
      <c r="D14" s="5" t="s">
        <v>31</v>
      </c>
      <c r="E14" s="5" t="s">
        <v>47</v>
      </c>
      <c r="F14" s="7" t="s">
        <v>69</v>
      </c>
      <c r="G14" s="8" t="s">
        <v>43</v>
      </c>
      <c r="H14" s="7"/>
    </row>
    <row r="15" spans="1:8">
      <c r="A15" s="5">
        <v>14</v>
      </c>
      <c r="B15" s="7" t="s">
        <v>70</v>
      </c>
      <c r="C15" s="5" t="s">
        <v>23</v>
      </c>
      <c r="D15" s="5" t="s">
        <v>31</v>
      </c>
      <c r="E15" s="5" t="s">
        <v>47</v>
      </c>
      <c r="F15" s="7" t="s">
        <v>71</v>
      </c>
      <c r="G15" s="8" t="s">
        <v>43</v>
      </c>
      <c r="H15" s="7"/>
    </row>
    <row r="16" spans="1:8">
      <c r="A16" s="5">
        <v>15</v>
      </c>
      <c r="B16" s="7" t="s">
        <v>72</v>
      </c>
      <c r="C16" s="5" t="s">
        <v>24</v>
      </c>
      <c r="D16" s="5" t="s">
        <v>32</v>
      </c>
      <c r="E16" s="5" t="s">
        <v>41</v>
      </c>
      <c r="F16" s="7" t="s">
        <v>73</v>
      </c>
      <c r="G16" s="8" t="s">
        <v>43</v>
      </c>
      <c r="H16" s="7"/>
    </row>
    <row r="17" spans="1:8">
      <c r="A17" s="5">
        <v>16</v>
      </c>
      <c r="B17" s="7" t="s">
        <v>74</v>
      </c>
      <c r="C17" s="5" t="s">
        <v>24</v>
      </c>
      <c r="D17" s="5" t="s">
        <v>31</v>
      </c>
      <c r="E17" s="5" t="s">
        <v>41</v>
      </c>
      <c r="F17" s="7" t="s">
        <v>75</v>
      </c>
      <c r="G17" s="9" t="s">
        <v>76</v>
      </c>
      <c r="H17" s="7" t="s">
        <v>77</v>
      </c>
    </row>
    <row r="18" spans="1:8">
      <c r="A18" s="5">
        <v>17</v>
      </c>
      <c r="B18" s="7" t="s">
        <v>78</v>
      </c>
      <c r="C18" s="5" t="s">
        <v>24</v>
      </c>
      <c r="D18" s="5" t="s">
        <v>32</v>
      </c>
      <c r="E18" s="5" t="s">
        <v>41</v>
      </c>
      <c r="F18" s="7" t="s">
        <v>79</v>
      </c>
      <c r="G18" s="8" t="s">
        <v>43</v>
      </c>
      <c r="H18" s="7"/>
    </row>
    <row r="19" spans="1:8">
      <c r="A19" s="5">
        <v>18</v>
      </c>
      <c r="B19" s="7" t="s">
        <v>80</v>
      </c>
      <c r="C19" s="5" t="s">
        <v>25</v>
      </c>
      <c r="D19" s="5" t="s">
        <v>31</v>
      </c>
      <c r="E19" s="5" t="s">
        <v>41</v>
      </c>
      <c r="F19" s="7" t="s">
        <v>81</v>
      </c>
      <c r="G19" s="8" t="s">
        <v>43</v>
      </c>
      <c r="H19" s="7"/>
    </row>
    <row r="20" spans="1:8">
      <c r="A20" s="5">
        <v>19</v>
      </c>
      <c r="B20" s="7" t="s">
        <v>82</v>
      </c>
      <c r="C20" s="5" t="s">
        <v>25</v>
      </c>
      <c r="D20" s="5" t="s">
        <v>31</v>
      </c>
      <c r="E20" s="5" t="s">
        <v>41</v>
      </c>
      <c r="F20" s="7" t="s">
        <v>83</v>
      </c>
      <c r="G20" s="9" t="s">
        <v>76</v>
      </c>
      <c r="H20" s="7" t="s">
        <v>77</v>
      </c>
    </row>
    <row r="21" spans="1:8">
      <c r="A21" s="5">
        <v>20</v>
      </c>
      <c r="B21" s="7" t="s">
        <v>84</v>
      </c>
      <c r="C21" s="5" t="s">
        <v>19</v>
      </c>
      <c r="D21" s="5" t="s">
        <v>30</v>
      </c>
      <c r="E21" s="5" t="s">
        <v>47</v>
      </c>
      <c r="F21" s="7" t="s">
        <v>85</v>
      </c>
      <c r="G21" s="8" t="s">
        <v>43</v>
      </c>
      <c r="H21" s="7"/>
    </row>
    <row r="22" spans="1:8">
      <c r="A22" s="5">
        <v>21</v>
      </c>
      <c r="B22" s="7" t="s">
        <v>86</v>
      </c>
      <c r="C22" s="5" t="s">
        <v>23</v>
      </c>
      <c r="D22" s="5" t="s">
        <v>31</v>
      </c>
      <c r="E22" s="5" t="s">
        <v>47</v>
      </c>
      <c r="F22" s="7" t="s">
        <v>87</v>
      </c>
      <c r="G22" s="8" t="s">
        <v>43</v>
      </c>
      <c r="H22" s="7"/>
    </row>
    <row r="23" spans="1:8">
      <c r="A23" s="5">
        <v>22</v>
      </c>
      <c r="B23" s="7" t="s">
        <v>88</v>
      </c>
      <c r="C23" s="5" t="s">
        <v>23</v>
      </c>
      <c r="D23" s="5" t="s">
        <v>31</v>
      </c>
      <c r="E23" s="5" t="s">
        <v>47</v>
      </c>
      <c r="F23" s="7" t="s">
        <v>89</v>
      </c>
      <c r="G23" s="10" t="s">
        <v>90</v>
      </c>
      <c r="H23" s="7" t="s">
        <v>91</v>
      </c>
    </row>
    <row r="24" spans="1:8">
      <c r="A24" s="5">
        <v>23</v>
      </c>
      <c r="B24" s="7" t="s">
        <v>92</v>
      </c>
      <c r="C24" s="5" t="s">
        <v>19</v>
      </c>
      <c r="D24" s="5" t="s">
        <v>30</v>
      </c>
      <c r="E24" s="5" t="s">
        <v>47</v>
      </c>
      <c r="F24" s="7" t="s">
        <v>93</v>
      </c>
      <c r="G24" s="8" t="s">
        <v>43</v>
      </c>
      <c r="H24" s="7"/>
    </row>
    <row r="25" spans="1:8">
      <c r="A25" s="5">
        <v>24</v>
      </c>
      <c r="B25" s="7" t="s">
        <v>94</v>
      </c>
      <c r="C25" s="5" t="s">
        <v>19</v>
      </c>
      <c r="D25" s="5" t="s">
        <v>30</v>
      </c>
      <c r="E25" s="5" t="s">
        <v>41</v>
      </c>
      <c r="F25" s="7" t="s">
        <v>95</v>
      </c>
      <c r="G25" s="8" t="s">
        <v>43</v>
      </c>
      <c r="H25" s="7"/>
    </row>
    <row r="26" spans="1:8">
      <c r="A26" s="5">
        <v>25</v>
      </c>
      <c r="B26" s="7" t="s">
        <v>96</v>
      </c>
      <c r="C26" s="5" t="s">
        <v>26</v>
      </c>
      <c r="D26" s="5" t="s">
        <v>30</v>
      </c>
      <c r="E26" s="5" t="s">
        <v>47</v>
      </c>
      <c r="F26" s="7" t="s">
        <v>97</v>
      </c>
      <c r="G26" s="8" t="s">
        <v>43</v>
      </c>
      <c r="H26" s="7"/>
    </row>
    <row r="27" spans="1:8">
      <c r="A27" s="5">
        <v>26</v>
      </c>
      <c r="B27" s="7" t="s">
        <v>98</v>
      </c>
      <c r="C27" s="5" t="s">
        <v>26</v>
      </c>
      <c r="D27" s="5" t="s">
        <v>30</v>
      </c>
      <c r="E27" s="5" t="s">
        <v>47</v>
      </c>
      <c r="F27" s="7" t="s">
        <v>99</v>
      </c>
      <c r="G27" s="8" t="s">
        <v>43</v>
      </c>
      <c r="H27" s="7"/>
    </row>
    <row r="28" spans="1:8">
      <c r="A28" s="5">
        <v>27</v>
      </c>
      <c r="B28" s="7" t="s">
        <v>100</v>
      </c>
      <c r="C28" s="5" t="s">
        <v>23</v>
      </c>
      <c r="D28" s="5" t="s">
        <v>31</v>
      </c>
      <c r="E28" s="5" t="s">
        <v>41</v>
      </c>
      <c r="F28" s="7" t="s">
        <v>101</v>
      </c>
      <c r="G28" s="9" t="s">
        <v>76</v>
      </c>
      <c r="H28" s="7" t="s">
        <v>77</v>
      </c>
    </row>
    <row r="29" spans="1:8">
      <c r="A29" s="5">
        <v>28</v>
      </c>
      <c r="B29" s="7" t="s">
        <v>102</v>
      </c>
      <c r="C29" s="5" t="s">
        <v>20</v>
      </c>
      <c r="D29" s="5" t="s">
        <v>31</v>
      </c>
      <c r="E29" s="5" t="s">
        <v>41</v>
      </c>
      <c r="F29" s="7" t="s">
        <v>103</v>
      </c>
      <c r="G29" s="9" t="s">
        <v>76</v>
      </c>
      <c r="H29" s="7" t="s">
        <v>77</v>
      </c>
    </row>
    <row r="30" spans="1:8">
      <c r="A30" s="5">
        <v>29</v>
      </c>
      <c r="B30" s="7" t="s">
        <v>104</v>
      </c>
      <c r="C30" s="5" t="s">
        <v>22</v>
      </c>
      <c r="D30" s="5" t="s">
        <v>33</v>
      </c>
      <c r="E30" s="5" t="s">
        <v>60</v>
      </c>
      <c r="F30" s="7" t="s">
        <v>105</v>
      </c>
      <c r="G30" s="8" t="s">
        <v>43</v>
      </c>
      <c r="H30" s="7"/>
    </row>
    <row r="31" spans="1:8">
      <c r="A31" s="5">
        <v>30</v>
      </c>
      <c r="B31" s="7" t="s">
        <v>106</v>
      </c>
      <c r="C31" s="5" t="s">
        <v>19</v>
      </c>
      <c r="D31" s="5" t="s">
        <v>30</v>
      </c>
      <c r="E31" s="5" t="s">
        <v>47</v>
      </c>
      <c r="F31" s="7" t="s">
        <v>107</v>
      </c>
      <c r="G31" s="8" t="s">
        <v>43</v>
      </c>
      <c r="H31"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Case Dataset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2026-08-30T09:05:15Z</dcterms:created>
  <dcterms:modified xsi:type="dcterms:W3CDTF">2026-08-30T09:05:15Z</dcterms:modified>
</cp:coreProperties>
</file>